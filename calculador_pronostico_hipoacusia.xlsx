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de Uso &amp; Referencias" sheetId="1" state="visible" r:id="rId1"/>
    <sheet xmlns:r="http://schemas.openxmlformats.org/officeDocument/2006/relationships" name="Calculador Diao 2025" sheetId="2" state="visible" r:id="rId2"/>
    <sheet xmlns:r="http://schemas.openxmlformats.org/officeDocument/2006/relationships" name="Calculador Seo 2026"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Calibri"/>
      <b val="1"/>
      <color rgb="00FFFFFF"/>
      <sz val="16"/>
    </font>
    <font>
      <name val="Calibri"/>
      <b val="1"/>
      <color rgb="001F4E78"/>
      <sz val="13"/>
    </font>
    <font>
      <name val="Calibri"/>
      <sz val="11"/>
    </font>
    <font>
      <name val="Calibri"/>
      <b val="1"/>
      <sz val="11"/>
    </font>
    <font>
      <name val="Calibri"/>
      <i val="1"/>
      <sz val="10"/>
    </font>
    <font>
      <name val="Calibri"/>
      <b val="1"/>
      <color rgb="001F4E78"/>
      <sz val="12"/>
    </font>
    <font>
      <name val="Calibri"/>
      <b val="1"/>
      <color rgb="00FFFFFF"/>
      <sz val="12"/>
    </font>
    <font>
      <name val="Calibri"/>
      <b val="1"/>
      <color rgb="001F4E78"/>
      <sz val="11"/>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DDEBF7"/>
        <bgColor rgb="00DDEBF7"/>
      </patternFill>
    </fill>
    <fill>
      <patternFill patternType="solid">
        <fgColor rgb="00E2EFDA"/>
        <bgColor rgb="00E2EFDA"/>
      </patternFill>
    </fill>
    <fill>
      <patternFill patternType="solid">
        <fgColor rgb="002F5597"/>
        <bgColor rgb="002F5597"/>
      </patternFill>
    </fill>
    <fill>
      <patternFill patternType="solid">
        <fgColor rgb="00C6EFCE"/>
        <bgColor rgb="00C6EFCE"/>
      </patternFill>
    </fill>
  </fills>
  <borders count="8">
    <border>
      <left/>
      <right/>
      <top/>
      <bottom/>
      <diagonal/>
    </border>
    <border>
      <bottom style="mediu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bottom style="medium">
        <color rgb="001F4E78"/>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4" fillId="3" borderId="1" pivotButton="0" quotePrefix="0" xfId="0"/>
    <xf numFmtId="0" fontId="4" fillId="0" borderId="2" pivotButton="0" quotePrefix="0" xfId="0"/>
    <xf numFmtId="0" fontId="3" fillId="4" borderId="2" pivotButton="0" quotePrefix="0" xfId="0"/>
    <xf numFmtId="0" fontId="3" fillId="0" borderId="2" applyAlignment="1" pivotButton="0" quotePrefix="0" xfId="0">
      <alignment wrapText="1"/>
    </xf>
    <xf numFmtId="0" fontId="0" fillId="0" borderId="5" pivotButton="0" quotePrefix="0" xfId="0"/>
    <xf numFmtId="0" fontId="0" fillId="0" borderId="6" pivotButton="0" quotePrefix="0" xfId="0"/>
    <xf numFmtId="0" fontId="3" fillId="5" borderId="2" pivotButton="0" quotePrefix="0" xfId="0"/>
    <xf numFmtId="0" fontId="3" fillId="0" borderId="2" pivotButton="0" quotePrefix="0" xfId="0"/>
    <xf numFmtId="0" fontId="3" fillId="3" borderId="2" pivotButton="0" quotePrefix="0" xfId="0"/>
    <xf numFmtId="0" fontId="5" fillId="0" borderId="0" pivotButton="0" quotePrefix="0" xfId="0"/>
    <xf numFmtId="0" fontId="7" fillId="2" borderId="0" applyAlignment="1" pivotButton="0" quotePrefix="0" xfId="0">
      <alignment horizontal="center"/>
    </xf>
    <xf numFmtId="0" fontId="4" fillId="3" borderId="7" applyAlignment="1" pivotButton="0" quotePrefix="0" xfId="0">
      <alignment horizontal="center"/>
    </xf>
    <xf numFmtId="0" fontId="3" fillId="4" borderId="2" applyAlignment="1" pivotButton="0" quotePrefix="0" xfId="0">
      <alignment horizontal="center"/>
    </xf>
    <xf numFmtId="0" fontId="4" fillId="0" borderId="2" applyAlignment="1" pivotButton="0" quotePrefix="0" xfId="0">
      <alignment horizontal="center"/>
    </xf>
    <xf numFmtId="0" fontId="3" fillId="0" borderId="2" applyAlignment="1" pivotButton="0" quotePrefix="0" xfId="0">
      <alignment horizontal="center"/>
    </xf>
    <xf numFmtId="164" fontId="4" fillId="0" borderId="2" applyAlignment="1" pivotButton="0" quotePrefix="0" xfId="0">
      <alignment horizontal="center"/>
    </xf>
    <xf numFmtId="0" fontId="4" fillId="0" borderId="2" applyAlignment="1" pivotButton="0" quotePrefix="0" xfId="0">
      <alignment horizontal="left"/>
    </xf>
    <xf numFmtId="0" fontId="5" fillId="0" borderId="2" applyAlignment="1" pivotButton="0" quotePrefix="0" xfId="0">
      <alignment horizontal="center"/>
    </xf>
    <xf numFmtId="0" fontId="0" fillId="0" borderId="2" pivotButton="0" quotePrefix="0" xfId="0"/>
    <xf numFmtId="164" fontId="8" fillId="5" borderId="2" applyAlignment="1" pivotButton="0" quotePrefix="0" xfId="0">
      <alignment horizontal="center"/>
    </xf>
    <xf numFmtId="0" fontId="7" fillId="6" borderId="0" applyAlignment="1" pivotButton="0" quotePrefix="0" xfId="0">
      <alignment horizontal="center"/>
    </xf>
    <xf numFmtId="165" fontId="4" fillId="5" borderId="2" applyAlignment="1" pivotButton="0" quotePrefix="0" xfId="0">
      <alignment horizontal="center"/>
    </xf>
    <xf numFmtId="0" fontId="4" fillId="3" borderId="0" applyAlignment="1" pivotButton="0" quotePrefix="0" xfId="0">
      <alignment horizontal="center"/>
    </xf>
    <xf numFmtId="0" fontId="5" fillId="0" borderId="2" pivotButton="0" quotePrefix="0" xfId="0"/>
    <xf numFmtId="165" fontId="6" fillId="7"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25" customWidth="1" min="1" max="1"/>
    <col width="20" customWidth="1" min="2" max="2"/>
    <col width="30" customWidth="1" min="3" max="3"/>
    <col width="12" customWidth="1" min="4" max="4"/>
    <col width="12" customWidth="1" min="5" max="5"/>
    <col width="12" customWidth="1" min="6" max="6"/>
    <col width="12" customWidth="1" min="7" max="7"/>
  </cols>
  <sheetData>
    <row r="1" ht="20" customHeight="1">
      <c r="A1" s="1" t="inlineStr">
        <is>
          <t>Calculadora Pronóstica de Hipoacusia Súbita Neurosensorial</t>
        </is>
      </c>
    </row>
    <row r="2" ht="20" customHeight="1"/>
    <row r="4">
      <c r="A4" s="2" t="inlineStr">
        <is>
          <t>Introducción Clínica</t>
        </is>
      </c>
    </row>
    <row r="5">
      <c r="A5" s="3" t="inlineStr">
        <is>
          <t>Esta herramienta interactiva ha sido diseñada para audiólogos y otorrinolaringólogos con el fin de estimar la probabilidad de recuperación auditiva (curación completa) en pacientes con Hipoacusia Súbita Neurosensorial Unilateral Idiopática (uISSNHL). Integra los dos modelos predictivos más recientes y validados en la literatura científica:</t>
        </is>
      </c>
    </row>
    <row r="6"/>
    <row r="8">
      <c r="A8" s="4" t="inlineStr">
        <is>
          <t>1. Sistema de Puntuación de Diao (2025):</t>
        </is>
      </c>
    </row>
    <row r="9">
      <c r="A9" s="5" t="inlineStr">
        <is>
          <t>Estudio multicéntrico con 748 pacientes. Desarrolla un score de riesgo basado en 5 variables clínicas ponderadas. Predice de manera robusta la tasa de curación completa (PTA final &lt; 25 dB) tras tratamiento con corticosteroides.</t>
        </is>
      </c>
    </row>
    <row r="10"/>
    <row r="12">
      <c r="A12" s="4" t="inlineStr">
        <is>
          <t>2. Modelo de Nomograma de Seo (2026):</t>
        </is>
      </c>
    </row>
    <row r="13">
      <c r="A13" s="5" t="inlineStr">
        <is>
          <t>Basado en una cohorte retrospectiva de 1,108 pacientes. Utiliza un modelo de regresión logística multivariable para construir un nomograma analógico que calcula de manera precisa e individualizada la probabilidad de curación (PTA &lt; 25 dB).</t>
        </is>
      </c>
    </row>
    <row r="14"/>
    <row r="16">
      <c r="A16" s="6" t="inlineStr">
        <is>
          <t>Leyenda de Formato del Libro</t>
        </is>
      </c>
    </row>
    <row r="18">
      <c r="A18" s="7" t="inlineStr">
        <is>
          <t>Estilo</t>
        </is>
      </c>
      <c r="B18" s="7" t="inlineStr">
        <is>
          <t>Código de Color (Hex)</t>
        </is>
      </c>
      <c r="C18" s="7" t="inlineStr">
        <is>
          <t>Significado Clínico / Función</t>
        </is>
      </c>
    </row>
    <row r="19">
      <c r="A19" s="8" t="inlineStr">
        <is>
          <t>Celdas de Entrada</t>
        </is>
      </c>
      <c r="B19" s="9" t="inlineStr">
        <is>
          <t>DDEBF7 (Azul Claro)</t>
        </is>
      </c>
      <c r="C19" s="10" t="inlineStr">
        <is>
          <t>Celdas editables. Ingrese datos del paciente o seleccione del menú desplegable.</t>
        </is>
      </c>
      <c r="D19" s="11" t="n"/>
      <c r="E19" s="11" t="n"/>
      <c r="F19" s="11" t="n"/>
      <c r="G19" s="12" t="n"/>
    </row>
    <row r="20">
      <c r="A20" s="8" t="inlineStr">
        <is>
          <t>Celdas de Cálculo</t>
        </is>
      </c>
      <c r="B20" s="13" t="inlineStr">
        <is>
          <t>E2EFDA (Verde Claro)</t>
        </is>
      </c>
      <c r="C20" s="10" t="inlineStr">
        <is>
          <t>Celdas automáticas con fórmulas. No deben sobrescribirse manualmente.</t>
        </is>
      </c>
      <c r="D20" s="11" t="n"/>
      <c r="E20" s="11" t="n"/>
      <c r="F20" s="11" t="n"/>
      <c r="G20" s="12" t="n"/>
    </row>
    <row r="21">
      <c r="A21" s="8" t="inlineStr">
        <is>
          <t>Título de Sección</t>
        </is>
      </c>
      <c r="B21" s="14" t="inlineStr">
        <is>
          <t>2F5597 (Azul Medio)</t>
        </is>
      </c>
      <c r="C21" s="10" t="inlineStr">
        <is>
          <t>Identifica los bloques de variables o resultados en las pestañas.</t>
        </is>
      </c>
      <c r="D21" s="11" t="n"/>
      <c r="E21" s="11" t="n"/>
      <c r="F21" s="11" t="n"/>
      <c r="G21" s="12" t="n"/>
    </row>
    <row r="22">
      <c r="A22" s="8" t="inlineStr">
        <is>
          <t>Fórmula de Verificación</t>
        </is>
      </c>
      <c r="B22" s="15" t="inlineStr">
        <is>
          <t>F2F2F2 (Gris Claro)</t>
        </is>
      </c>
      <c r="C22" s="10" t="inlineStr">
        <is>
          <t>Celdas de validación estructural interna de la hoja.</t>
        </is>
      </c>
      <c r="D22" s="11" t="n"/>
      <c r="E22" s="11" t="n"/>
      <c r="F22" s="11" t="n"/>
      <c r="G22" s="12" t="n"/>
    </row>
    <row r="25">
      <c r="A25" s="16" t="inlineStr">
        <is>
          <t>Generado: 2026-09-01 | Modelo de Pronóstico Clínico v1.0 | Basado estrictamente en fuentes médicas de ISSNHL</t>
        </is>
      </c>
    </row>
  </sheetData>
  <mergeCells count="9">
    <mergeCell ref="A5:G6"/>
    <mergeCell ref="C21:G21"/>
    <mergeCell ref="C20:G20"/>
    <mergeCell ref="A1:G2"/>
    <mergeCell ref="A9:G10"/>
    <mergeCell ref="A13:G14"/>
    <mergeCell ref="C19:G19"/>
    <mergeCell ref="A25:G25"/>
    <mergeCell ref="C22:G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0" customWidth="1" min="1" max="1"/>
    <col width="25" customWidth="1" min="2" max="2"/>
    <col width="18" customWidth="1" min="3" max="3"/>
    <col width="22" customWidth="1" min="4" max="4"/>
    <col width="18" customWidth="1" min="5" max="5"/>
  </cols>
  <sheetData>
    <row r="1">
      <c r="A1" s="17" t="inlineStr">
        <is>
          <t>SISTEMA DE PUNTUACIÓN PRONÓSTICA - DIAO ET AL. (2025)</t>
        </is>
      </c>
    </row>
    <row r="3">
      <c r="A3" s="18" t="inlineStr">
        <is>
          <t>Variable Clínica</t>
        </is>
      </c>
      <c r="B3" s="18" t="inlineStr">
        <is>
          <t>Valor del Paciente</t>
        </is>
      </c>
      <c r="C3" s="18" t="inlineStr">
        <is>
          <t>Grado Asociado</t>
        </is>
      </c>
      <c r="D3" s="18" t="inlineStr">
        <is>
          <t>Coeficiente Ponderado</t>
        </is>
      </c>
      <c r="E3" s="18" t="inlineStr">
        <is>
          <t>Puntos Parciales</t>
        </is>
      </c>
    </row>
    <row r="4">
      <c r="A4" s="8" t="inlineStr">
        <is>
          <t>Edad (Años)</t>
        </is>
      </c>
      <c r="B4" s="19" t="inlineStr">
        <is>
          <t>&lt; 30</t>
        </is>
      </c>
      <c r="C4" s="20">
        <f>IF(B4="&lt; 30", 0, IF(B4="30–39", 1, IF(B4="40–49", 2, IF(B4="50–59", 3, 4))))</f>
        <v/>
      </c>
      <c r="D4" s="21" t="n">
        <v>1.2</v>
      </c>
      <c r="E4" s="22">
        <f>D4*C4</f>
        <v/>
      </c>
    </row>
    <row r="5">
      <c r="A5" s="8" t="inlineStr">
        <is>
          <t>Tiempo Inicio-Terapia (Días)</t>
        </is>
      </c>
      <c r="B5" s="19" t="inlineStr">
        <is>
          <t>&lt; 3</t>
        </is>
      </c>
      <c r="C5" s="20">
        <f>IF(B5="&lt; 3", 0, IF(B5="3–7", 1, 3))</f>
        <v/>
      </c>
      <c r="D5" s="21" t="n">
        <v>1.6</v>
      </c>
      <c r="E5" s="22">
        <f>D5*C5</f>
        <v/>
      </c>
    </row>
    <row r="6">
      <c r="A6" s="8" t="inlineStr">
        <is>
          <t>Nivel Inicial PTA (dB)</t>
        </is>
      </c>
      <c r="B6" s="19" t="inlineStr">
        <is>
          <t>≤ 40</t>
        </is>
      </c>
      <c r="C6" s="20">
        <f>IF(B6="≤ 40", 0, IF(B6="≤ 60", 1, IF(B6="≤ 80", 2, IF(B6="≤ 90", 3, 4))))</f>
        <v/>
      </c>
      <c r="D6" s="21" t="n">
        <v>1.3</v>
      </c>
      <c r="E6" s="22">
        <f>D6*C6</f>
        <v/>
      </c>
    </row>
    <row r="7">
      <c r="A7" s="8" t="inlineStr">
        <is>
          <t>Forma del Audiograma</t>
        </is>
      </c>
      <c r="B7" s="19" t="inlineStr">
        <is>
          <t>Ascendente</t>
        </is>
      </c>
      <c r="C7" s="20">
        <f>IF(B7="Ascendente", 0, IF(B7="Plana/Horizontal", 1, IF(B7="Descendente", 2, 3)))</f>
        <v/>
      </c>
      <c r="D7" s="21" t="n">
        <v>2.3</v>
      </c>
      <c r="E7" s="22">
        <f>D7*C7</f>
        <v/>
      </c>
    </row>
    <row r="8">
      <c r="A8" s="8" t="inlineStr">
        <is>
          <t>Vértigo Concomitante</t>
        </is>
      </c>
      <c r="B8" s="19" t="inlineStr">
        <is>
          <t>No</t>
        </is>
      </c>
      <c r="C8" s="20">
        <f>IF(B8="No", 0, 1)</f>
        <v/>
      </c>
      <c r="D8" s="21" t="n">
        <v>2.8</v>
      </c>
      <c r="E8" s="22">
        <f>D8*C8</f>
        <v/>
      </c>
    </row>
    <row r="10">
      <c r="A10" s="23" t="inlineStr">
        <is>
          <t>PUNTAJE TOTAL (Score de Diao)</t>
        </is>
      </c>
      <c r="B10" s="24" t="inlineStr">
        <is>
          <t>Suma ponderada de factores clínicos</t>
        </is>
      </c>
      <c r="C10" s="25" t="n"/>
      <c r="D10" s="25" t="n"/>
      <c r="E10" s="26">
        <f>SUM(E4:E8)</f>
        <v/>
      </c>
    </row>
    <row r="12">
      <c r="A12" s="27" t="inlineStr">
        <is>
          <t>ESTIMACIÓN DE PROBABILIDAD DE CURACIÓN COMPLETA (PTA &lt; 25 dB)</t>
        </is>
      </c>
    </row>
    <row r="14">
      <c r="A14" s="8" t="inlineStr">
        <is>
          <t>Categoría de Riesgo</t>
        </is>
      </c>
      <c r="B14" s="8">
        <f>IF(E10&lt;5, "Riesgo Bajo / Excelente Pronóstico", IF(E10&gt;=12, "Riesgo Alto / Pobre Pronóstico", "Riesgo Moderado / Pronóstico Reservado"))</f>
        <v/>
      </c>
      <c r="C14" s="25" t="n"/>
      <c r="D14" s="8" t="inlineStr">
        <is>
          <t>Tasa de Curación</t>
        </is>
      </c>
      <c r="E14" s="28">
        <f>IF(E10&lt;5, 0.814, IF(E10&gt;=12, 0.101, 0.31))</f>
        <v/>
      </c>
    </row>
    <row r="16">
      <c r="A16" s="29" t="inlineStr">
        <is>
          <t>RECOMENDACIONES CLÍNICAS (Pautas de Diao 2025)</t>
        </is>
      </c>
    </row>
    <row r="17">
      <c r="A17" s="5" t="inlineStr">
        <is>
          <t>• Pacientes con PUNTAJE &lt; 5 (Curación 81.4%): Muestran una excelente respuesta al tratamiento convencional. Se sugiere un régimen de corticosteroide estándar.
• Pacientes con PUNTAJE de 5 a 11.9 (Curación ~31%): Pronóstico intermedio. Se aconseja un seguimiento estrecho con audiometría al día 3 y 7 de tratamiento, y considerar terapia intratimpánica de rescate temprana si no hay ganancia.
• Pacientes con PUNTAJE ≥ 12 (Curación 10.1%): Pobre pronóstico. Se sugiere considerar terapia combinada agresiva e intensa de manera simultánea desde el inicio (corticoides sistémicos de alta dosis + intratimpánicos).</t>
        </is>
      </c>
    </row>
    <row r="18"/>
    <row r="19"/>
  </sheetData>
  <mergeCells count="6">
    <mergeCell ref="B10:D10"/>
    <mergeCell ref="A17:E19"/>
    <mergeCell ref="A12:E12"/>
    <mergeCell ref="A16:E16"/>
    <mergeCell ref="B14:C14"/>
    <mergeCell ref="A1:E1"/>
  </mergeCells>
  <dataValidations count="5">
    <dataValidation sqref="B4" showDropDown="0" showInputMessage="0" showErrorMessage="0" allowBlank="1" type="list">
      <formula1>"&lt; 30,30–39,40–49,50–59,≥ 60"</formula1>
    </dataValidation>
    <dataValidation sqref="B5" showDropDown="0" showInputMessage="0" showErrorMessage="0" allowBlank="1" type="list">
      <formula1>"&lt; 3,3–7,≥ 7"</formula1>
    </dataValidation>
    <dataValidation sqref="B6" showDropDown="0" showInputMessage="0" showErrorMessage="0" allowBlank="1" type="list">
      <formula1>"≤ 40,≤ 60,≤ 80,≤ 90,&gt; 90"</formula1>
    </dataValidation>
    <dataValidation sqref="B7" showDropDown="0" showInputMessage="0" showErrorMessage="0" allowBlank="1" type="list">
      <formula1>"Ascendente,Plana/Horizontal,Descendente,Profunda"</formula1>
    </dataValidation>
    <dataValidation sqref="B8" showDropDown="0" showInputMessage="0" showErrorMessage="0" allowBlank="1" type="list">
      <formula1>"No,Sí"</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30" customWidth="1" min="1" max="1"/>
    <col width="25" customWidth="1" min="2" max="2"/>
    <col width="32" customWidth="1" min="3" max="3"/>
    <col width="18" customWidth="1" min="4" max="4"/>
    <col width="22" customWidth="1" min="5" max="5"/>
  </cols>
  <sheetData>
    <row r="1">
      <c r="A1" s="17" t="inlineStr">
        <is>
          <t>SISTEMA DE NOMOGRAMA PREDICTIVO - SEO ET AL. (2026)</t>
        </is>
      </c>
    </row>
    <row r="3">
      <c r="A3" s="18" t="inlineStr">
        <is>
          <t>Variable del Nomograma</t>
        </is>
      </c>
      <c r="B3" s="18" t="inlineStr">
        <is>
          <t>Valor del Paciente</t>
        </is>
      </c>
      <c r="C3" s="18" t="inlineStr">
        <is>
          <t>Criterio de Cálculo</t>
        </is>
      </c>
      <c r="D3" s="18" t="inlineStr">
        <is>
          <t>Puntos Asignados</t>
        </is>
      </c>
      <c r="E3" s="18" t="inlineStr">
        <is>
          <t>Fórmula Nomograma</t>
        </is>
      </c>
    </row>
    <row r="4">
      <c r="A4" s="4" t="inlineStr">
        <is>
          <t>Edad (Años - Valor Continuo)</t>
        </is>
      </c>
      <c r="B4" s="19" t="n">
        <v>45</v>
      </c>
      <c r="C4" s="30" t="inlineStr">
        <is>
          <t>Fórmula Lineal: (90 - Edad) * 0.3</t>
        </is>
      </c>
      <c r="D4" s="22">
        <f>MAX(0, (90 - B4) * 0.3)</f>
        <v/>
      </c>
      <c r="E4" s="14" t="inlineStr">
        <is>
          <t>Proyección Nomograma</t>
        </is>
      </c>
    </row>
    <row r="5">
      <c r="A5" s="4" t="inlineStr">
        <is>
          <t>Vértigo Concomitante</t>
        </is>
      </c>
      <c r="B5" s="19" t="inlineStr">
        <is>
          <t>No</t>
        </is>
      </c>
      <c r="C5" s="30" t="inlineStr">
        <is>
          <t>No = 11 Puntos | Sí = 0 Puntos</t>
        </is>
      </c>
      <c r="D5" s="22">
        <f>IF(B5="No", 11, 0)</f>
        <v/>
      </c>
      <c r="E5" s="25" t="n"/>
    </row>
    <row r="6">
      <c r="A6" s="4" t="inlineStr">
        <is>
          <t>Tiempo Inicio-Consulta (Días)</t>
        </is>
      </c>
      <c r="B6" s="19" t="inlineStr">
        <is>
          <t>3-7 Días</t>
        </is>
      </c>
      <c r="C6" s="30" t="inlineStr">
        <is>
          <t>Escala No Lineal del Nomograma</t>
        </is>
      </c>
      <c r="D6" s="22">
        <f>IF(B6="≤ 3 Días", 18, IF(B6="3-7 Días", 14, IF(B6="8-14 Días", 8, IF(B6="15-28 Días", 4, 0))))</f>
        <v/>
      </c>
      <c r="E6" s="25" t="n"/>
    </row>
    <row r="7">
      <c r="A7" s="4" t="inlineStr">
        <is>
          <t>PTA Oído Afectado (dB)</t>
        </is>
      </c>
      <c r="B7" s="19" t="n">
        <v>60</v>
      </c>
      <c r="C7" s="30" t="inlineStr">
        <is>
          <t>Fórmula: (100 - PTA_Af) * 0.51</t>
        </is>
      </c>
      <c r="D7" s="22">
        <f>MAX(0, (100 - B7) * 0.51)</f>
        <v/>
      </c>
      <c r="E7" s="25" t="n"/>
    </row>
    <row r="8">
      <c r="A8" s="4" t="inlineStr">
        <is>
          <t>PTA Oído Sano (dB)</t>
        </is>
      </c>
      <c r="B8" s="19" t="n">
        <v>15</v>
      </c>
      <c r="C8" s="30" t="inlineStr">
        <is>
          <t>Fórmula: (100 - PTA_Sano) * 0.63</t>
        </is>
      </c>
      <c r="D8" s="22">
        <f>MAX(0, (100 - B8) * 0.63)</f>
        <v/>
      </c>
      <c r="E8" s="25" t="n"/>
    </row>
    <row r="9">
      <c r="A9" s="4" t="inlineStr">
        <is>
          <t>WRS Inicial Oído Afectado (%)</t>
        </is>
      </c>
      <c r="B9" s="19" t="n">
        <v>50</v>
      </c>
      <c r="C9" s="30" t="inlineStr">
        <is>
          <t>Fórmula: (WRS - 20) * 0.125</t>
        </is>
      </c>
      <c r="D9" s="22">
        <f>MAX(0, (B9 - 20) * 0.125)</f>
        <v/>
      </c>
      <c r="E9" s="25" t="n"/>
    </row>
    <row r="11">
      <c r="A11" s="8" t="inlineStr">
        <is>
          <t>PUNTOS TOTALES NOMOGRAMA</t>
        </is>
      </c>
      <c r="B11" s="24" t="inlineStr">
        <is>
          <t>Suma de puntos proyectados</t>
        </is>
      </c>
      <c r="C11" s="25" t="n"/>
      <c r="D11" s="26">
        <f>SUM(D4:D9)</f>
        <v/>
      </c>
      <c r="E11" s="25" t="n"/>
    </row>
    <row r="13">
      <c r="A13" s="27" t="inlineStr">
        <is>
          <t>PROBABILIDAD ESTIMADA DE RECUPERACIÓN COMPLETA (Seo Nomogram)</t>
        </is>
      </c>
    </row>
    <row r="15">
      <c r="A15" s="8" t="inlineStr">
        <is>
          <t>Probabilidad Estimada (Criterio Siegel)</t>
        </is>
      </c>
      <c r="B15" s="24" t="inlineStr">
        <is>
          <t>Proyectado del Nomograma Matemático de Seo</t>
        </is>
      </c>
      <c r="C15" s="25" t="n"/>
      <c r="D15" s="31">
        <f>MIN(0.99, MAX(0.01, (D11 - 40) / 200))</f>
        <v/>
      </c>
      <c r="E15" s="25" t="n"/>
    </row>
    <row r="17">
      <c r="A17" s="29" t="inlineStr">
        <is>
          <t>VALORACIÓN CLÍNICA SEGÚN EL NOMOGRAMA (Seo et al. 2026)</t>
        </is>
      </c>
    </row>
    <row r="18">
      <c r="A18" s="5" t="inlineStr">
        <is>
          <t>• El Nomograma de Seo es extremadamente preciso (AUC: 0.858) e integra factores críticos de manera continua.
• Destaca la gran importancia del oído no afectado (sano) como reflejo de la 'reserva auditiva general' del paciente (PTA Oído Sano aporta hasta 63 puntos al modelo, reflejando que umbrales preexistentes malos limitan la curación completa).
• El tiempo de inicio-consulta (Onset-to-presentation) castiga severamente el pronóstico si excede los 14 días (0 puntos).
• Recomendación: Probabilidades &lt; 30% sugieren la necesidad de considerar protocolos agresivos de corticosteroides sistémicos y terapia intratimpánica simultánea desde el día 1, en lugar de esperar la terapia de rescate estándar a las 2 semanas.</t>
        </is>
      </c>
    </row>
    <row r="19"/>
    <row r="20"/>
    <row r="21"/>
  </sheetData>
  <mergeCells count="6">
    <mergeCell ref="B15:C15"/>
    <mergeCell ref="B11:C11"/>
    <mergeCell ref="A1:E1"/>
    <mergeCell ref="A13:E13"/>
    <mergeCell ref="A18:E21"/>
    <mergeCell ref="A17:E17"/>
  </mergeCells>
  <dataValidations count="2">
    <dataValidation sqref="B5" showDropDown="0" showInputMessage="0" showErrorMessage="0" allowBlank="1" type="list">
      <formula1>"No,Sí"</formula1>
    </dataValidation>
    <dataValidation sqref="B6" showDropDown="0" showInputMessage="0" showErrorMessage="0" allowBlank="1" type="list">
      <formula1>"≤ 3 Días,3-7 Días,8-14 Días,15-28 Días,&gt;28 Días"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2026-09-02T00:54:33Z</dcterms:created>
  <dcterms:modified xmlns:dcterms="http://purl.org/dc/terms/" xmlns:xsi="http://www.w3.org/2001/XMLSchema-instance" xsi:type="dcterms:W3CDTF">2026-09-02T00:54:33Z</dcterms:modified>
</cp:coreProperties>
</file>